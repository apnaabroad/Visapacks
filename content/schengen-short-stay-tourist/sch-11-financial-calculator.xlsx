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Choose the country whose consulate you're applying to - see the Reference Amounts table for what each means and its daily rate.</t>
        </r>
      </text>
    </comment>
    <comment ref="B11" authorId="0">
      <text>
        <r>
          <rPr>
            <sz val="10"/>
            <rFont val="Arial"/>
            <family val="2"/>
          </rPr>
          <t xml:space="preserve">Type Yes or No.</t>
        </r>
      </text>
    </comment>
    <comment ref="B12" authorId="0">
      <text>
        <r>
          <rPr>
            <sz val="10"/>
            <rFont val="Arial"/>
            <family val="2"/>
          </rPr>
          <t xml:space="preserve">Mandatory for a Schengen application - not optional. Enter the actual quoted premium for a policy meeting the minimum coverage requirement.</t>
        </r>
      </text>
    </comment>
  </commentList>
</comments>
</file>

<file path=xl/sharedStrings.xml><?xml version="1.0" encoding="utf-8"?>
<sst xmlns="http://schemas.openxmlformats.org/spreadsheetml/2006/main" count="37" uniqueCount="32">
  <si>
    <t xml:space="preserve">PREMIUM</t>
  </si>
  <si>
    <t xml:space="preserve">Financial Planning Calculator</t>
  </si>
  <si>
    <t xml:space="preserve">Schengen Area - Short-Stay Tourist Visa (Type C)</t>
  </si>
  <si>
    <t xml:space="preserve">Each Schengen member state publishes its own daily reference amount for means of subsistence, and these change over time - the per-country table below is a general planning estimate, not the official figure. Confirm the current reference amount for the specific consulate you're applying to before relying on this. Fill in the blue cells; every other cell updates automatically. All figures are in euros (EUR).</t>
  </si>
  <si>
    <t xml:space="preserve">Your trip details</t>
  </si>
  <si>
    <t xml:space="preserve">Trip length (days)</t>
  </si>
  <si>
    <t xml:space="preserve">Number of travellers</t>
  </si>
  <si>
    <t xml:space="preserve">Main destination country</t>
  </si>
  <si>
    <t xml:space="preserve">France</t>
  </si>
  <si>
    <t xml:space="preserve">Return flight cost per person (EUR, 0 if already paid)</t>
  </si>
  <si>
    <t xml:space="preserve">Accommodation already booked &amp; paid?</t>
  </si>
  <si>
    <t xml:space="preserve">No</t>
  </si>
  <si>
    <t xml:space="preserve">Travel medical insurance premium, per person (EUR)</t>
  </si>
  <si>
    <t xml:space="preserve">Daily reference amount by destination (EUR/day per person)</t>
  </si>
  <si>
    <t xml:space="preserve">Country</t>
  </si>
  <si>
    <t xml:space="preserve">Rate (EUR/day)</t>
  </si>
  <si>
    <t xml:space="preserve">Note</t>
  </si>
  <si>
    <t xml:space="preserve">Illustrative planning figure - verify the current amount with the consulate</t>
  </si>
  <si>
    <t xml:space="preserve">Germany</t>
  </si>
  <si>
    <t xml:space="preserve">Italy</t>
  </si>
  <si>
    <t xml:space="preserve">Spain</t>
  </si>
  <si>
    <t xml:space="preserve">Netherlands</t>
  </si>
  <si>
    <t xml:space="preserve">These five countries are illustrative examples, not a complete list of the 29 Schengen states - add a row and update the destination dropdown if your main destination isn't listed. None of these figures are sourced from or endorsed by any consulate; every total below recalculates automatically if you edit them.</t>
  </si>
  <si>
    <t xml:space="preserve">Suggested minimum funds to evidence</t>
  </si>
  <si>
    <t xml:space="preserve">Daily reference amount for selected destination (EUR)</t>
  </si>
  <si>
    <t xml:space="preserve">Accommodation + daily expenses</t>
  </si>
  <si>
    <t xml:space="preserve">Flights (all travellers)</t>
  </si>
  <si>
    <t xml:space="preserve">Travel medical insurance (all travellers)</t>
  </si>
  <si>
    <t xml:space="preserve">Subtotal</t>
  </si>
  <si>
    <t xml:space="preserve">Buffer for incidentals (15%)</t>
  </si>
  <si>
    <t xml:space="preserve">Suggested total</t>
  </si>
  <si>
    <t xml:space="preserve">Not a government agency. Not affiliated with any consulate or embassy. Verify current requirements and reference amounts with the specific consulate you're applying 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</si>
</sst>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55.5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10</v>
      </c>
    </row>
    <row r="8" customFormat="false" ht="15" hidden="false" customHeight="false" outlineLevel="0" collapsed="false">
      <c r="A8" s="6" t="s">
        <v>6</v>
      </c>
      <c r="B8" s="7" t="n">
        <v>1</v>
      </c>
    </row>
    <row r="9" customFormat="false" ht="15" hidden="false" customHeight="false" outlineLevel="0" collapsed="false">
      <c r="A9" s="6" t="s">
        <v>7</v>
      </c>
      <c r="B9" s="7" t="s">
        <v>8</v>
      </c>
    </row>
    <row r="10" customFormat="false" ht="15" hidden="false" customHeight="false" outlineLevel="0" collapsed="false">
      <c r="A10" s="6" t="s">
        <v>9</v>
      </c>
      <c r="B10" s="8" t="n">
        <v>350</v>
      </c>
    </row>
    <row r="11" customFormat="false" ht="15" hidden="false" customHeight="false" outlineLevel="0" collapsed="false">
      <c r="A11" s="6" t="s">
        <v>10</v>
      </c>
      <c r="B11" s="7" t="s">
        <v>11</v>
      </c>
    </row>
    <row r="12" customFormat="false" ht="15" hidden="false" customHeight="false" outlineLevel="0" collapsed="false">
      <c r="A12" s="6" t="s">
        <v>12</v>
      </c>
      <c r="B12" s="8" t="n">
        <v>25</v>
      </c>
    </row>
    <row r="14" customFormat="false" ht="15" hidden="false" customHeight="false" outlineLevel="0" collapsed="false">
      <c r="A14" s="5" t="s">
        <v>13</v>
      </c>
    </row>
    <row r="15" customFormat="false" ht="15" hidden="false" customHeight="false" outlineLevel="0" collapsed="false">
      <c r="A15" s="9" t="s">
        <v>14</v>
      </c>
      <c r="B15" s="9" t="s">
        <v>15</v>
      </c>
      <c r="C15" s="9" t="s">
        <v>16</v>
      </c>
    </row>
    <row r="16" customFormat="false" ht="15" hidden="false" customHeight="false" outlineLevel="0" collapsed="false">
      <c r="A16" s="10" t="s">
        <v>8</v>
      </c>
      <c r="B16" s="11" t="n">
        <v>65</v>
      </c>
      <c r="C16" s="12" t="s">
        <v>17</v>
      </c>
    </row>
    <row r="17" customFormat="false" ht="15" hidden="false" customHeight="false" outlineLevel="0" collapsed="false">
      <c r="A17" s="10" t="s">
        <v>18</v>
      </c>
      <c r="B17" s="11" t="n">
        <v>45</v>
      </c>
      <c r="C17" s="12" t="s">
        <v>17</v>
      </c>
    </row>
    <row r="18" customFormat="false" ht="15" hidden="false" customHeight="false" outlineLevel="0" collapsed="false">
      <c r="A18" s="10" t="s">
        <v>19</v>
      </c>
      <c r="B18" s="11" t="n">
        <v>45</v>
      </c>
      <c r="C18" s="12" t="s">
        <v>17</v>
      </c>
    </row>
    <row r="19" customFormat="false" ht="15" hidden="false" customHeight="false" outlineLevel="0" collapsed="false">
      <c r="A19" s="10" t="s">
        <v>20</v>
      </c>
      <c r="B19" s="11" t="n">
        <v>65</v>
      </c>
      <c r="C19" s="12" t="s">
        <v>17</v>
      </c>
    </row>
    <row r="20" customFormat="false" ht="15" hidden="false" customHeight="false" outlineLevel="0" collapsed="false">
      <c r="A20" s="10" t="s">
        <v>21</v>
      </c>
      <c r="B20" s="11" t="n">
        <v>40</v>
      </c>
      <c r="C20" s="12" t="s">
        <v>17</v>
      </c>
    </row>
    <row r="21" customFormat="false" ht="15" hidden="false" customHeight="false" outlineLevel="0" collapsed="false">
      <c r="A21" s="13" t="s">
        <v>22</v>
      </c>
      <c r="B21" s="13"/>
      <c r="C21" s="13"/>
    </row>
    <row r="23" customFormat="false" ht="15" hidden="false" customHeight="false" outlineLevel="0" collapsed="false">
      <c r="A23" s="5" t="s">
        <v>23</v>
      </c>
    </row>
    <row r="24" customFormat="false" ht="15" hidden="false" customHeight="false" outlineLevel="0" collapsed="false">
      <c r="A24" s="6" t="s">
        <v>24</v>
      </c>
      <c r="B24" s="14" t="n">
        <f aca="false">INDEX(B16:B20,MATCH(B9,A16:A20,0))</f>
        <v>65</v>
      </c>
    </row>
    <row r="25" customFormat="false" ht="15" hidden="false" customHeight="false" outlineLevel="0" collapsed="false">
      <c r="A25" s="6" t="s">
        <v>25</v>
      </c>
      <c r="B25" s="14" t="n">
        <f aca="false">B24*B7*B8*IF(B11="Yes",0.55,1)</f>
        <v>650</v>
      </c>
    </row>
    <row r="26" customFormat="false" ht="15" hidden="false" customHeight="false" outlineLevel="0" collapsed="false">
      <c r="A26" s="6" t="s">
        <v>26</v>
      </c>
      <c r="B26" s="14" t="n">
        <f aca="false">B10*B8</f>
        <v>350</v>
      </c>
    </row>
    <row r="27" customFormat="false" ht="15" hidden="false" customHeight="false" outlineLevel="0" collapsed="false">
      <c r="A27" s="6" t="s">
        <v>27</v>
      </c>
      <c r="B27" s="14" t="n">
        <f aca="false">B12*B8</f>
        <v>25</v>
      </c>
    </row>
    <row r="28" customFormat="false" ht="15" hidden="false" customHeight="false" outlineLevel="0" collapsed="false">
      <c r="A28" s="15" t="s">
        <v>28</v>
      </c>
      <c r="B28" s="16" t="n">
        <f aca="false">B25+B26+B27</f>
        <v>1025</v>
      </c>
    </row>
    <row r="29" customFormat="false" ht="15" hidden="false" customHeight="false" outlineLevel="0" collapsed="false">
      <c r="A29" s="6" t="s">
        <v>29</v>
      </c>
      <c r="B29" s="14" t="n">
        <f aca="false">B28*0.15</f>
        <v>153.75</v>
      </c>
    </row>
    <row r="30" customFormat="false" ht="16.15" hidden="false" customHeight="false" outlineLevel="0" collapsed="false">
      <c r="A30" s="17" t="s">
        <v>30</v>
      </c>
      <c r="B30" s="18" t="n">
        <f aca="false">SUM(B28:B29)</f>
        <v>1178.75</v>
      </c>
    </row>
    <row r="33" customFormat="false" ht="15" hidden="false" customHeight="false" outlineLevel="0" collapsed="false">
      <c r="A33" s="13" t="s">
        <v>31</v>
      </c>
      <c r="B33" s="13"/>
      <c r="C33" s="13"/>
    </row>
  </sheetData>
  <mergeCells count="3">
    <mergeCell ref="A4:E4"/>
    <mergeCell ref="A21:C21"/>
    <mergeCell ref="A33:C33"/>
  </mergeCells>
  <dataValidations count="2">
    <dataValidation allowBlank="false" errorStyle="stop" operator="between" showDropDown="false" showErrorMessage="false" showInputMessage="false" sqref="B11" type="list">
      <formula1>"Yes,No"</formula1>
      <formula2>0</formula2>
    </dataValidation>
    <dataValidation allowBlank="false" errorStyle="stop" operator="between" showDropDown="false" showErrorMessage="false" showInputMessage="false" sqref="B9" type="list">
      <formula1>$A$16:$A$20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2026-08-28T18:14:37Z</dcterms:created>
  <dc:creator>openpyxl</dc:creator>
  <dc:description/>
  <dc:language>en-US</dc:language>
  <cp:lastModifiedBy/>
  <dcterms:modified xsi:type="dcterms:W3CDTF">2026-08-28T18:14:37Z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