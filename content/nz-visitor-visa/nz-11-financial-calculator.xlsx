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Choose Yes or No - this determines which of INZ's two published monthly rates applies.</t>
        </r>
      </text>
    </comment>
    <comment ref="B11" authorId="0">
      <text>
        <r>
          <rPr>
            <sz val="10"/>
            <rFont val="Arial"/>
            <family val="2"/>
          </rPr>
          <t xml:space="preserve">The Visitor Visa application fee for this route includes the International Visitor Conservation and Tourism Levy (IVL) - verify the current combined fee before relying on this figure.</t>
        </r>
      </text>
    </comment>
    <comment ref="B12" authorId="0">
      <text>
        <r>
          <rPr>
            <sz val="10"/>
            <rFont val="Arial"/>
            <family val="2"/>
          </rPr>
          <t xml:space="preserve">If a New Zealand-based sponsor has completed a formal INZ 1025 Sponsorship Form covering your accommodation and/or maintenance costs, enter the amount it covers here - it offsets your total below. Leave as 0 if not applicable.</t>
        </r>
      </text>
    </comment>
  </commentList>
</comments>
</file>

<file path=xl/sharedStrings.xml><?xml version="1.0" encoding="utf-8"?>
<sst xmlns="http://schemas.openxmlformats.org/spreadsheetml/2006/main" count="32" uniqueCount="31">
  <si>
    <t xml:space="preserve">PREMIUM</t>
  </si>
  <si>
    <t xml:space="preserve">Financial Planning Calculator</t>
  </si>
  <si>
    <t xml:space="preserve">New Zealand - Visitor Visa</t>
  </si>
  <si>
    <t xml:space="preserve">This models Immigration New Zealand's own published per-month guideline, not a generic daily-rate estimate. If a New Zealand-based sponsor has completed a formal INZ 1025 Sponsorship Form covering some of your costs, enter that amount below to see how it offsets your total. The guideline figures and visa/IVL fee are updated periodically - verify the current amounts before relying on this. Fill in the blue cells; every other cell updates automatically. All figures are in New Zealand dollars (NZD).</t>
  </si>
  <si>
    <t xml:space="preserve">Your trip details</t>
  </si>
  <si>
    <t xml:space="preserve">Trip length (days)</t>
  </si>
  <si>
    <t xml:space="preserve">Number of travellers</t>
  </si>
  <si>
    <t xml:space="preserve">Is your accommodation already paid in full?</t>
  </si>
  <si>
    <t xml:space="preserve">No</t>
  </si>
  <si>
    <t xml:space="preserve">Return flight cost per person (NZD, 0 if already paid)</t>
  </si>
  <si>
    <t xml:space="preserve">Visitor Visa fee per person, including the IVL (NZD)</t>
  </si>
  <si>
    <t xml:space="preserve">Amount already covered by an INZ 1025 Sponsorship Form (NZD)</t>
  </si>
  <si>
    <t xml:space="preserve">INZ's published monthly guideline (NZD/month per person)</t>
  </si>
  <si>
    <t xml:space="preserve">Accommodation status</t>
  </si>
  <si>
    <t xml:space="preserve">Rate (NZD/month)</t>
  </si>
  <si>
    <t xml:space="preserve">Basis</t>
  </si>
  <si>
    <t xml:space="preserve">Own/self-funded accommodation - INZ's standard published guideline</t>
  </si>
  <si>
    <t xml:space="preserve">Yes</t>
  </si>
  <si>
    <t xml:space="preserve">Accommodation already paid in full for the whole stay</t>
  </si>
  <si>
    <t xml:space="preserve">These are Immigration New Zealand's own published planning figures, not a generic estimate - but they're updated periodically. Confirm the current amounts and edit the blue cells above if they've changed - every total below recalculates automatically.</t>
  </si>
  <si>
    <t xml:space="preserve">Suggested minimum funds to evidence</t>
  </si>
  <si>
    <t xml:space="preserve">Applicable monthly rate (NZD)</t>
  </si>
  <si>
    <t xml:space="preserve">Daily rate (monthly rate / 30)</t>
  </si>
  <si>
    <t xml:space="preserve">Living costs (daily rate x days x travellers)</t>
  </si>
  <si>
    <t xml:space="preserve">Flights (all travellers)</t>
  </si>
  <si>
    <t xml:space="preserve">Visa fees incl. IVL (all travellers)</t>
  </si>
  <si>
    <t xml:space="preserve">Subtotal</t>
  </si>
  <si>
    <t xml:space="preserve">Buffer for incidentals (15%)</t>
  </si>
  <si>
    <t xml:space="preserve">Less: covered by an INZ 1025 Sponsorship Form</t>
  </si>
  <si>
    <t xml:space="preserve">Suggested total to evidence yourself</t>
  </si>
  <si>
    <t xml:space="preserve">Not a government agency. Not affiliated with Immigration New Zealand or MBIE. Verify current requirements and figures before applying.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</si>
</sst>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67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20</v>
      </c>
    </row>
    <row r="8" customFormat="false" ht="15" hidden="false" customHeight="false" outlineLevel="0" collapsed="false">
      <c r="A8" s="6" t="s">
        <v>6</v>
      </c>
      <c r="B8" s="7" t="n">
        <v>1</v>
      </c>
    </row>
    <row r="9" customFormat="false" ht="15" hidden="false" customHeight="false" outlineLevel="0" collapsed="false">
      <c r="A9" s="6" t="s">
        <v>7</v>
      </c>
      <c r="B9" s="7" t="s">
        <v>8</v>
      </c>
    </row>
    <row r="10" customFormat="false" ht="15" hidden="false" customHeight="false" outlineLevel="0" collapsed="false">
      <c r="A10" s="6" t="s">
        <v>9</v>
      </c>
      <c r="B10" s="8" t="n">
        <v>1600</v>
      </c>
    </row>
    <row r="11" customFormat="false" ht="15" hidden="false" customHeight="false" outlineLevel="0" collapsed="false">
      <c r="A11" s="6" t="s">
        <v>10</v>
      </c>
      <c r="B11" s="8" t="n">
        <v>341</v>
      </c>
    </row>
    <row r="12" customFormat="false" ht="15" hidden="false" customHeight="false" outlineLevel="0" collapsed="false">
      <c r="A12" s="6" t="s">
        <v>11</v>
      </c>
      <c r="B12" s="8" t="n">
        <v>0</v>
      </c>
    </row>
    <row r="14" customFormat="false" ht="15" hidden="false" customHeight="false" outlineLevel="0" collapsed="false">
      <c r="A14" s="5" t="s">
        <v>12</v>
      </c>
    </row>
    <row r="15" customFormat="false" ht="15" hidden="false" customHeight="false" outlineLevel="0" collapsed="false">
      <c r="A15" s="9" t="s">
        <v>13</v>
      </c>
      <c r="B15" s="9" t="s">
        <v>14</v>
      </c>
      <c r="C15" s="9" t="s">
        <v>15</v>
      </c>
    </row>
    <row r="16" customFormat="false" ht="15" hidden="false" customHeight="false" outlineLevel="0" collapsed="false">
      <c r="A16" s="10" t="s">
        <v>8</v>
      </c>
      <c r="B16" s="11" t="n">
        <v>1000</v>
      </c>
      <c r="C16" s="12" t="s">
        <v>16</v>
      </c>
    </row>
    <row r="17" customFormat="false" ht="15" hidden="false" customHeight="false" outlineLevel="0" collapsed="false">
      <c r="A17" s="10" t="s">
        <v>17</v>
      </c>
      <c r="B17" s="11" t="n">
        <v>400</v>
      </c>
      <c r="C17" s="12" t="s">
        <v>18</v>
      </c>
    </row>
    <row r="18" customFormat="false" ht="15" hidden="false" customHeight="false" outlineLevel="0" collapsed="false">
      <c r="A18" s="13" t="s">
        <v>19</v>
      </c>
      <c r="B18" s="13"/>
      <c r="C18" s="13"/>
    </row>
    <row r="20" customFormat="false" ht="15" hidden="false" customHeight="false" outlineLevel="0" collapsed="false">
      <c r="A20" s="5" t="s">
        <v>20</v>
      </c>
    </row>
    <row r="21" customFormat="false" ht="15" hidden="false" customHeight="false" outlineLevel="0" collapsed="false">
      <c r="A21" s="6" t="s">
        <v>21</v>
      </c>
      <c r="B21" s="14" t="n">
        <f aca="false">INDEX(B16:B17,MATCH(B9,A16:A17,0))</f>
        <v>1000</v>
      </c>
    </row>
    <row r="22" customFormat="false" ht="15" hidden="false" customHeight="false" outlineLevel="0" collapsed="false">
      <c r="A22" s="6" t="s">
        <v>22</v>
      </c>
      <c r="B22" s="15" t="n">
        <f aca="false">B21/30</f>
        <v>33.3333333333333</v>
      </c>
    </row>
    <row r="23" customFormat="false" ht="15" hidden="false" customHeight="false" outlineLevel="0" collapsed="false">
      <c r="A23" s="6" t="s">
        <v>23</v>
      </c>
      <c r="B23" s="14" t="n">
        <f aca="false">B22*B7*B8</f>
        <v>666.666666666667</v>
      </c>
    </row>
    <row r="24" customFormat="false" ht="15" hidden="false" customHeight="false" outlineLevel="0" collapsed="false">
      <c r="A24" s="6" t="s">
        <v>24</v>
      </c>
      <c r="B24" s="14" t="n">
        <f aca="false">B10*B8</f>
        <v>1600</v>
      </c>
    </row>
    <row r="25" customFormat="false" ht="15" hidden="false" customHeight="false" outlineLevel="0" collapsed="false">
      <c r="A25" s="6" t="s">
        <v>25</v>
      </c>
      <c r="B25" s="14" t="n">
        <f aca="false">B11*B8</f>
        <v>341</v>
      </c>
    </row>
    <row r="26" customFormat="false" ht="15" hidden="false" customHeight="false" outlineLevel="0" collapsed="false">
      <c r="A26" s="16" t="s">
        <v>26</v>
      </c>
      <c r="B26" s="17" t="n">
        <f aca="false">B23+B24+B25</f>
        <v>2607.66666666667</v>
      </c>
    </row>
    <row r="27" customFormat="false" ht="15" hidden="false" customHeight="false" outlineLevel="0" collapsed="false">
      <c r="A27" s="6" t="s">
        <v>27</v>
      </c>
      <c r="B27" s="14" t="n">
        <f aca="false">B26*0.15</f>
        <v>391.15</v>
      </c>
    </row>
    <row r="28" customFormat="false" ht="15" hidden="false" customHeight="false" outlineLevel="0" collapsed="false">
      <c r="A28" s="6" t="s">
        <v>28</v>
      </c>
      <c r="B28" s="14" t="n">
        <f aca="false">-MIN(B12,B26+B27)</f>
        <v>-0</v>
      </c>
    </row>
    <row r="29" customFormat="false" ht="16.15" hidden="false" customHeight="false" outlineLevel="0" collapsed="false">
      <c r="A29" s="18" t="s">
        <v>29</v>
      </c>
      <c r="B29" s="19" t="n">
        <f aca="false">SUM(B26:B28)</f>
        <v>2998.81666666667</v>
      </c>
    </row>
    <row r="32" customFormat="false" ht="15" hidden="false" customHeight="false" outlineLevel="0" collapsed="false">
      <c r="A32" s="13" t="s">
        <v>30</v>
      </c>
      <c r="B32" s="13"/>
      <c r="C32" s="13"/>
    </row>
  </sheetData>
  <mergeCells count="3">
    <mergeCell ref="A4:E4"/>
    <mergeCell ref="A18:C18"/>
    <mergeCell ref="A32:C32"/>
  </mergeCells>
  <dataValidations count="1">
    <dataValidation allowBlank="false" errorStyle="stop" operator="between" showDropDown="false" showErrorMessage="false" showInputMessage="false" sqref="B9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2026-08-29T14:34:37Z</dcterms:created>
  <dc:creator>openpyxl</dc:creator>
  <dc:description/>
  <dc:language>en-US</dc:language>
  <cp:lastModifiedBy/>
  <dcterms:modified xsi:type="dcterms:W3CDTF">2026-08-29T14:34:37Z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