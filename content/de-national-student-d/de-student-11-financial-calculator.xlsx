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Most students under 30 at a state-recognised university use GKV. Confirm which applies to you.</t>
        </r>
      </text>
    </comment>
    <comment ref="B9" authorId="0">
      <text>
        <r>
          <rPr>
            <sz val="10"/>
            <rFont val="Arial"/>
            <family val="2"/>
          </rPr>
          <t xml:space="preserve">Only applies to certain nationalities - see the Financial Requirements Overview.</t>
        </r>
      </text>
    </comment>
    <comment ref="B20" authorId="0">
      <text>
        <r>
          <rPr>
            <sz val="10"/>
            <rFont val="Arial"/>
            <family val="2"/>
          </rPr>
          <t xml:space="preserve">This is the key structural feature of a Sperrkonto: you can't withdraw the full deposit at once - it releases in capped monthly instalments once you're in Germany.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<sst xmlns="http://schemas.openxmlformats.org/spreadsheetml/2006/main" count="29" uniqueCount="29">
  <si>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PREMIUM</t>
  </si>
  <si>
    <t xml:space="preserve">Financial Planning Calculator</t>
  </si>
  <si>
    <t xml:space="preserve">Germany - National Student Visa (Type D)</t>
  </si>
  <si>
    <t xml:space="preserve">This models the Sperrkonto (blocked account) mechanism: you deposit a published annual amount, and it's released to you as a capped monthly instalment once in Germany - not available as a lump sum withdrawal. The annual rate and insurance premiums are updated periodically - check current figures before relying on this. Fill in the blue cells; every other cell updates automatically. All figures are in euros (EUR).</t>
  </si>
  <si>
    <t xml:space="preserve">Your situation</t>
  </si>
  <si>
    <t xml:space="preserve">Health insurance type</t>
  </si>
  <si>
    <t xml:space="preserve">GKV (statutory)</t>
  </si>
  <si>
    <t xml:space="preserve">Semesterbeitrag (semester contribution fee, per semester, EUR)</t>
  </si>
  <si>
    <t xml:space="preserve">APS certificate fee, if required (EUR, 0 if not applicable)</t>
  </si>
  <si>
    <t xml:space="preserve">Published rate assumptions</t>
  </si>
  <si>
    <t xml:space="preserve">Item</t>
  </si>
  <si>
    <t xml:space="preserve">Amount (EUR)</t>
  </si>
  <si>
    <t xml:space="preserve">Note</t>
  </si>
  <si>
    <t xml:space="preserve">Sperrkonto annual deposit</t>
  </si>
  <si>
    <t xml:space="preserve">Published annual amount - verify the current figure before relying on it</t>
  </si>
  <si>
    <t xml:space="preserve">GKV monthly premium (statutory)</t>
  </si>
  <si>
    <t xml:space="preserve">Published student rate - verify the current amount</t>
  </si>
  <si>
    <t xml:space="preserve">Private insurance monthly premium</t>
  </si>
  <si>
    <t xml:space="preserve">Varies by provider and circumstances - enter your actual quote if you have one</t>
  </si>
  <si>
    <t xml:space="preserve">These are general planning figures based on published rates, not guaranteed current amounts - both the Sperrkonto rate and insurance premiums are updated periodically. Confirm the current figures and edit the blue cells above if they've changed - every total below recalculates automatically.</t>
  </si>
  <si>
    <t xml:space="preserve">Your Sperrkonto and first-year costs</t>
  </si>
  <si>
    <t xml:space="preserve">Sperrkonto - required initial deposit</t>
  </si>
  <si>
    <t xml:space="preserve">Sperrkonto - monthly instalment released to you</t>
  </si>
  <si>
    <t xml:space="preserve">Health insurance (annual, based on selected type)</t>
  </si>
  <si>
    <t xml:space="preserve">Semesterbeitrag (2 semesters/year)</t>
  </si>
  <si>
    <t xml:space="preserve">APS certificate fee, if applicable</t>
  </si>
  <si>
    <t xml:space="preserve">Total first-year cost (Sperrkonto deposit + insurance + fees)</t>
  </si>
  <si>
    <t xml:space="preserve">Note: the Sperrkonto deposit is not spent - it's your own money, released to you monthly while studying. The insurance, Semesterbeitrag, and APS fee (if applicable) are the actual costs on top of it.</t>
  </si>
  <si>
    <t xml:space="preserve">Not a government agency. Not affiliated with any German consulate or university. Verify current requirements and figures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</si>
</sst>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s">
        <v>6</v>
      </c>
    </row>
    <row r="8" customFormat="false" ht="15" hidden="false" customHeight="false" outlineLevel="0" collapsed="false">
      <c r="A8" s="6" t="s">
        <v>7</v>
      </c>
      <c r="B8" s="8" t="n">
        <v>350</v>
      </c>
    </row>
    <row r="9" customFormat="false" ht="15" hidden="false" customHeight="false" outlineLevel="0" collapsed="false">
      <c r="A9" s="6" t="s">
        <v>8</v>
      </c>
      <c r="B9" s="8" t="n">
        <v>0</v>
      </c>
    </row>
    <row r="11" customFormat="false" ht="15" hidden="false" customHeight="false" outlineLevel="0" collapsed="false">
      <c r="A11" s="5" t="s">
        <v>9</v>
      </c>
    </row>
    <row r="12" customFormat="false" ht="15" hidden="false" customHeight="false" outlineLevel="0" collapsed="false">
      <c r="A12" s="9" t="s">
        <v>10</v>
      </c>
      <c r="B12" s="9" t="s">
        <v>11</v>
      </c>
      <c r="C12" s="9" t="s">
        <v>12</v>
      </c>
    </row>
    <row r="13" customFormat="false" ht="15" hidden="false" customHeight="false" outlineLevel="0" collapsed="false">
      <c r="A13" s="10" t="s">
        <v>13</v>
      </c>
      <c r="B13" s="11" t="n">
        <v>11904</v>
      </c>
      <c r="C13" s="12" t="s">
        <v>14</v>
      </c>
    </row>
    <row r="14" customFormat="false" ht="15" hidden="false" customHeight="false" outlineLevel="0" collapsed="false">
      <c r="A14" s="10" t="s">
        <v>15</v>
      </c>
      <c r="B14" s="11" t="n">
        <v>130</v>
      </c>
      <c r="C14" s="12" t="s">
        <v>16</v>
      </c>
    </row>
    <row r="15" customFormat="false" ht="15" hidden="false" customHeight="false" outlineLevel="0" collapsed="false">
      <c r="A15" s="10" t="s">
        <v>17</v>
      </c>
      <c r="B15" s="11" t="n">
        <v>110</v>
      </c>
      <c r="C15" s="12" t="s">
        <v>18</v>
      </c>
    </row>
    <row r="16" customFormat="false" ht="15" hidden="false" customHeight="false" outlineLevel="0" collapsed="false">
      <c r="A16" s="13" t="s">
        <v>19</v>
      </c>
      <c r="B16" s="13"/>
      <c r="C16" s="13"/>
    </row>
    <row r="18" customFormat="false" ht="15" hidden="false" customHeight="false" outlineLevel="0" collapsed="false">
      <c r="A18" s="5" t="s">
        <v>20</v>
      </c>
    </row>
    <row r="19" customFormat="false" ht="15" hidden="false" customHeight="false" outlineLevel="0" collapsed="false">
      <c r="A19" s="6" t="s">
        <v>21</v>
      </c>
      <c r="B19" s="14" t="n">
        <f aca="false">B13</f>
        <v>11904</v>
      </c>
    </row>
    <row r="20" customFormat="false" ht="15" hidden="false" customHeight="false" outlineLevel="0" collapsed="false">
      <c r="A20" s="6" t="s">
        <v>22</v>
      </c>
      <c r="B20" s="14" t="n">
        <f aca="false">B19/12</f>
        <v>992</v>
      </c>
    </row>
    <row r="21" customFormat="false" ht="15" hidden="false" customHeight="false" outlineLevel="0" collapsed="false">
      <c r="A21" s="6" t="s">
        <v>23</v>
      </c>
      <c r="B21" s="14" t="n">
        <f aca="false">IF(B7="GKV (statutory)",B14,B15)*12</f>
        <v>1560</v>
      </c>
    </row>
    <row r="22" customFormat="false" ht="15" hidden="false" customHeight="false" outlineLevel="0" collapsed="false">
      <c r="A22" s="6" t="s">
        <v>24</v>
      </c>
      <c r="B22" s="14" t="n">
        <f aca="false">B8*2</f>
        <v>700</v>
      </c>
    </row>
    <row r="23" customFormat="false" ht="15" hidden="false" customHeight="false" outlineLevel="0" collapsed="false">
      <c r="A23" s="6" t="s">
        <v>25</v>
      </c>
      <c r="B23" s="14" t="n">
        <f aca="false">B9</f>
        <v>0</v>
      </c>
    </row>
    <row r="24" customFormat="false" ht="16.15" hidden="false" customHeight="false" outlineLevel="0" collapsed="false">
      <c r="A24" s="15" t="s">
        <v>26</v>
      </c>
      <c r="B24" s="16" t="n">
        <f aca="false">B19+B21+B22+B23</f>
        <v>14164</v>
      </c>
    </row>
    <row r="26" customFormat="false" ht="27.75" hidden="false" customHeight="true" outlineLevel="0" collapsed="false">
      <c r="A26" s="17" t="s">
        <v>27</v>
      </c>
      <c r="B26" s="17"/>
      <c r="C26" s="17"/>
    </row>
    <row r="28" customFormat="false" ht="15" hidden="false" customHeight="false" outlineLevel="0" collapsed="false">
      <c r="A28" s="13" t="s">
        <v>28</v>
      </c>
      <c r="B28" s="13"/>
      <c r="C28" s="13"/>
    </row>
  </sheetData>
  <mergeCells count="4">
    <mergeCell ref="A4:E4"/>
    <mergeCell ref="A16:C16"/>
    <mergeCell ref="A26:C26"/>
    <mergeCell ref="A28:C28"/>
  </mergeCells>
  <dataValidations count="1">
    <dataValidation allowBlank="false" errorStyle="stop" operator="between" showDropDown="false" showErrorMessage="false" showInputMessage="false" sqref="B7" type="list">
      <formula1>"GKV (statutory),Private"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2026-08-28T18:40:39Z</dcterms:created>
  <dc:creator>openpyxl</dc:creator>
  <dc:description/>
  <dc:language>en-US</dc:language>
  <cp:lastModifiedBy/>
  <dcterms:modified xsi:type="dcterms:W3CDTF">2026-08-28T18:40:39Z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