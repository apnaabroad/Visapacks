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ulato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Enter your course's full length in months, as stated on your CAS. If longer than 9 months, living costs are still only required for a maximum of 9 months.</t>
        </r>
      </text>
    </comment>
    <comment ref="B8" authorId="0">
      <text>
        <r>
          <rPr>
            <sz val="10"/>
            <rFont val="Arial"/>
            <family val="2"/>
          </rPr>
          <t xml:space="preserve">Choose London or Outside London - the published monthly living-cost rate differs between the two.</t>
        </r>
      </text>
    </comment>
    <comment ref="B10" authorId="0">
      <text>
        <r>
          <rPr>
            <sz val="10"/>
            <rFont val="Arial"/>
            <family val="2"/>
          </rPr>
          <t xml:space="preserve">Any deposit you've already paid toward tuition reduces the course-fees portion you still need to evidence.</t>
        </r>
      </text>
    </comment>
  </commentList>
</comments>
</file>

<file path=xl/sharedStrings.xml><?xml version="1.0" encoding="utf-8"?>
<sst xmlns="http://schemas.openxmlformats.org/spreadsheetml/2006/main" count="27" uniqueCount="26">
  <si>
    <t xml:space="preserve">PREMIUM</t>
  </si>
  <si>
    <t xml:space="preserve">Financial Planning Calculator</t>
  </si>
  <si>
    <t xml:space="preserve">United Kingdom - Student Visa</t>
  </si>
  <si>
    <t xml:space="preserve">This implements the published maintenance-fund formula: course fees payable, plus a fixed monthly living-cost rate for up to 9 months. The monthly rate changes periodically - check gov.uk for the current figure and update the blue rate cells below before relying on this. Fill in the blue cells; every other cell updates automatically.</t>
  </si>
  <si>
    <t xml:space="preserve">Your course details</t>
  </si>
  <si>
    <t xml:space="preserve">Course length (months)</t>
  </si>
  <si>
    <t xml:space="preserve">Study location</t>
  </si>
  <si>
    <t xml:space="preserve">Outside London</t>
  </si>
  <si>
    <t xml:space="preserve">First-year course fees, per your CAS (£)</t>
  </si>
  <si>
    <t xml:space="preserve">Deposit already paid to your sponsor (£)</t>
  </si>
  <si>
    <t xml:space="preserve">Monthly living-cost rate (£/month)</t>
  </si>
  <si>
    <t xml:space="preserve">Location</t>
  </si>
  <si>
    <t xml:space="preserve">Rate (£/month)</t>
  </si>
  <si>
    <t xml:space="preserve">Source</t>
  </si>
  <si>
    <t xml:space="preserve">London</t>
  </si>
  <si>
    <t xml:space="preserve">Published Student visa maintenance rate for London - verify current figure on gov.uk before relying on it</t>
  </si>
  <si>
    <t xml:space="preserve">Published Student visa maintenance rate outside London - verify current figure on gov.uk before relying on it</t>
  </si>
  <si>
    <t xml:space="preserve">These are the officially published rates as of this document's writing, not a general estimate - but they are updated periodically by the Home Office. Confirm the current figures on gov.uk (search "Student visa financial requirement") and edit the blue cells above if they've changed - every total below recalculates automatically.</t>
  </si>
  <si>
    <t xml:space="preserve">Funds you need to evidence</t>
  </si>
  <si>
    <t xml:space="preserve">Months of living costs required (capped at 9)</t>
  </si>
  <si>
    <t xml:space="preserve">Monthly living-cost rate for your location (£)</t>
  </si>
  <si>
    <t xml:space="preserve">Living costs required</t>
  </si>
  <si>
    <t xml:space="preserve">Course fees payable (fees minus deposit already paid)</t>
  </si>
  <si>
    <t xml:space="preserve">Total funds to evidence</t>
  </si>
  <si>
    <t xml:space="preserve">Reminder: this total must be held in an acceptable account for a continuous 28-day period, ending no more than 31 days before you apply - see the Financial Requirements Overview.</t>
  </si>
  <si>
    <t xml:space="preserve">Not a government agency. Not affiliated with UK Visas and Immigration. Verify current requirements and rates at gov.uk before applying.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</si>
</sst>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£#,##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7A1F2B"/>
      <name val="Arial"/>
      <family val="0"/>
      <charset val="1"/>
    </font>
    <font>
      <b val="true"/>
      <sz val="18"/>
      <color rgb="FF161616"/>
      <name val="Arial"/>
      <family val="0"/>
      <charset val="1"/>
    </font>
    <font>
      <sz val="11"/>
      <color rgb="FF8A857D"/>
      <name val="Arial"/>
      <family val="0"/>
      <charset val="1"/>
    </font>
    <font>
      <i val="true"/>
      <sz val="9"/>
      <color rgb="FF8A857D"/>
      <name val="Arial"/>
      <family val="0"/>
      <charset val="1"/>
    </font>
    <font>
      <b val="true"/>
      <sz val="12"/>
      <color rgb="FF161616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9"/>
      <name val="Arial"/>
      <family val="0"/>
      <charset val="1"/>
    </font>
    <font>
      <i val="true"/>
      <sz val="8"/>
      <color rgb="FF8A857D"/>
      <name val="Arial"/>
      <family val="0"/>
      <charset val="1"/>
    </font>
    <font>
      <b val="true"/>
      <sz val="13"/>
      <color rgb="FF7A1F2B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61616"/>
        <bgColor rgb="FF000000"/>
      </patternFill>
    </fill>
    <fill>
      <patternFill patternType="solid">
        <fgColor rgb="FFFBF9F6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9E4DC"/>
      </left>
      <right style="thin">
        <color rgb="FFE9E4DC"/>
      </right>
      <top style="thin">
        <color rgb="FFE9E4DC"/>
      </top>
      <bottom style="thin">
        <color rgb="FFE9E4DC"/>
      </bottom>
      <diagonal/>
    </border>
    <border diagonalUp="false" diagonalDown="false">
      <left/>
      <right/>
      <top style="medium">
        <color rgb="FF161616"/>
      </top>
      <bottom style="medium">
        <color rgb="FF16161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A857D"/>
      <rgbColor rgb="FF9999FF"/>
      <rgbColor rgb="FF993366"/>
      <rgbColor rgb="FFFBF9F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9E4D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61616"/>
      <rgbColor rgb="FF333300"/>
      <rgbColor rgb="FF7A1F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  <col collapsed="false" customWidth="true" hidden="false" outlineLevel="0" max="3" min="3" style="0" width="4"/>
    <col collapsed="false" customWidth="true" hidden="false" outlineLevel="0" max="4" min="4" style="0" width="40"/>
    <col collapsed="false" customWidth="true" hidden="false" outlineLevel="0" max="5" min="5" style="0" width="18"/>
  </cols>
  <sheetData>
    <row r="1" customFormat="false" ht="15" hidden="false" customHeight="false" outlineLevel="0" collapsed="false">
      <c r="A1" s="1" t="s">
        <v>0</v>
      </c>
    </row>
    <row r="2" customFormat="false" ht="22.0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55.5" hidden="false" customHeight="true" outlineLevel="0" collapsed="false">
      <c r="A4" s="4" t="s">
        <v>3</v>
      </c>
      <c r="B4" s="4"/>
      <c r="C4" s="4"/>
      <c r="D4" s="4"/>
      <c r="E4" s="4"/>
    </row>
    <row r="6" customFormat="false" ht="15" hidden="false" customHeight="false" outlineLevel="0" collapsed="false">
      <c r="A6" s="5" t="s">
        <v>4</v>
      </c>
    </row>
    <row r="7" customFormat="false" ht="15" hidden="false" customHeight="false" outlineLevel="0" collapsed="false">
      <c r="A7" s="6" t="s">
        <v>5</v>
      </c>
      <c r="B7" s="7" t="n">
        <v>12</v>
      </c>
    </row>
    <row r="8" customFormat="false" ht="15" hidden="false" customHeight="false" outlineLevel="0" collapsed="false">
      <c r="A8" s="6" t="s">
        <v>6</v>
      </c>
      <c r="B8" s="7" t="s">
        <v>7</v>
      </c>
    </row>
    <row r="9" customFormat="false" ht="15" hidden="false" customHeight="false" outlineLevel="0" collapsed="false">
      <c r="A9" s="6" t="s">
        <v>8</v>
      </c>
      <c r="B9" s="8" t="n">
        <v>16000</v>
      </c>
    </row>
    <row r="10" customFormat="false" ht="15" hidden="false" customHeight="false" outlineLevel="0" collapsed="false">
      <c r="A10" s="6" t="s">
        <v>9</v>
      </c>
      <c r="B10" s="8" t="n">
        <v>3000</v>
      </c>
    </row>
    <row r="12" customFormat="false" ht="15" hidden="false" customHeight="false" outlineLevel="0" collapsed="false">
      <c r="A12" s="5" t="s">
        <v>10</v>
      </c>
    </row>
    <row r="13" customFormat="false" ht="15" hidden="false" customHeight="false" outlineLevel="0" collapsed="false">
      <c r="A13" s="9" t="s">
        <v>11</v>
      </c>
      <c r="B13" s="9" t="s">
        <v>12</v>
      </c>
      <c r="C13" s="9" t="s">
        <v>13</v>
      </c>
    </row>
    <row r="14" customFormat="false" ht="15" hidden="false" customHeight="false" outlineLevel="0" collapsed="false">
      <c r="A14" s="10" t="s">
        <v>14</v>
      </c>
      <c r="B14" s="11" t="n">
        <v>1334</v>
      </c>
      <c r="C14" s="12" t="s">
        <v>15</v>
      </c>
    </row>
    <row r="15" customFormat="false" ht="15" hidden="false" customHeight="false" outlineLevel="0" collapsed="false">
      <c r="A15" s="10" t="s">
        <v>7</v>
      </c>
      <c r="B15" s="11" t="n">
        <v>1023</v>
      </c>
      <c r="C15" s="12" t="s">
        <v>16</v>
      </c>
    </row>
    <row r="16" customFormat="false" ht="15" hidden="false" customHeight="false" outlineLevel="0" collapsed="false">
      <c r="A16" s="13" t="s">
        <v>17</v>
      </c>
      <c r="B16" s="13"/>
      <c r="C16" s="13"/>
    </row>
    <row r="18" customFormat="false" ht="15" hidden="false" customHeight="false" outlineLevel="0" collapsed="false">
      <c r="A18" s="5" t="s">
        <v>18</v>
      </c>
    </row>
    <row r="19" customFormat="false" ht="15" hidden="false" customHeight="false" outlineLevel="0" collapsed="false">
      <c r="A19" s="6" t="s">
        <v>19</v>
      </c>
      <c r="B19" s="6" t="n">
        <f aca="false">MIN(9,ROUNDUP(B7,0))</f>
        <v>9</v>
      </c>
    </row>
    <row r="20" customFormat="false" ht="15" hidden="false" customHeight="false" outlineLevel="0" collapsed="false">
      <c r="A20" s="6" t="s">
        <v>20</v>
      </c>
      <c r="B20" s="14" t="n">
        <f aca="false">INDEX(B14:B15,MATCH(B8,A14:A15,0))</f>
        <v>1023</v>
      </c>
    </row>
    <row r="21" customFormat="false" ht="15" hidden="false" customHeight="false" outlineLevel="0" collapsed="false">
      <c r="A21" s="6" t="s">
        <v>21</v>
      </c>
      <c r="B21" s="14" t="n">
        <f aca="false">B20*B19</f>
        <v>9207</v>
      </c>
    </row>
    <row r="22" customFormat="false" ht="15" hidden="false" customHeight="false" outlineLevel="0" collapsed="false">
      <c r="A22" s="6" t="s">
        <v>22</v>
      </c>
      <c r="B22" s="14" t="n">
        <f aca="false">MAX(B9-B10,0)</f>
        <v>13000</v>
      </c>
    </row>
    <row r="23" customFormat="false" ht="16.15" hidden="false" customHeight="false" outlineLevel="0" collapsed="false">
      <c r="A23" s="15" t="s">
        <v>23</v>
      </c>
      <c r="B23" s="16" t="n">
        <f aca="false">B21+B22</f>
        <v>22207</v>
      </c>
    </row>
    <row r="25" customFormat="false" ht="27.75" hidden="false" customHeight="true" outlineLevel="0" collapsed="false">
      <c r="A25" s="17" t="s">
        <v>24</v>
      </c>
      <c r="B25" s="17"/>
      <c r="C25" s="17"/>
    </row>
    <row r="27" customFormat="false" ht="15" hidden="false" customHeight="false" outlineLevel="0" collapsed="false">
      <c r="A27" s="13" t="s">
        <v>25</v>
      </c>
      <c r="B27" s="13"/>
      <c r="C27" s="13"/>
    </row>
  </sheetData>
  <mergeCells count="4">
    <mergeCell ref="A4:E4"/>
    <mergeCell ref="A16:C16"/>
    <mergeCell ref="A25:C25"/>
    <mergeCell ref="A27:C27"/>
  </mergeCells>
  <dataValidations count="1">
    <dataValidation allowBlank="false" errorStyle="stop" operator="between" showDropDown="false" showErrorMessage="false" showInputMessage="false" sqref="B8" type="list">
      <formula1>"London,Outside London"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2026-08-28T17:29:40Z</dcterms:created>
  <dc:creator>openpyxl</dc:creator>
  <dc:description/>
  <dc:language>en-US</dc:language>
  <cp:lastModifiedBy/>
  <dcterms:modified xsi:type="dcterms:W3CDTF">2026-08-28T17:29:40Z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