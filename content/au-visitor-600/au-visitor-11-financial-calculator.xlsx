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Choose Budget, Moderate, or Comfortable - see the Daily Rate Assumptions table for what each means and its $/day rate.</t>
        </r>
      </text>
    </comment>
    <comment ref="B11" authorId="0">
      <text>
        <r>
          <rPr>
            <sz val="10"/>
            <rFont val="Arial"/>
            <family val="2"/>
          </rPr>
          <t xml:space="preserve">Type Yes or No.</t>
        </r>
      </text>
    </comment>
  </commentList>
</comments>
</file>

<file path=xl/sharedStrings.xml><?xml version="1.0" encoding="utf-8"?>
<sst xmlns="http://schemas.openxmlformats.org/spreadsheetml/2006/main" count="31" uniqueCount="30">
  <si>
    <t xml:space="preserve">PREMIUM</t>
  </si>
  <si>
    <t xml:space="preserve">Financial Planning Calculator</t>
  </si>
  <si>
    <t xml:space="preserve">Australia - Visitor Visa (Subclass 600, Tourist stream)</t>
  </si>
  <si>
    <t xml:space="preserve">There is no fixed official minimum bank balance for this visa - this is a planning estimate, not a requirement any case officer checks against. Fill in the blue cells; every other cell updates automatically. All figures are in Australian dollars (AUD).</t>
  </si>
  <si>
    <t xml:space="preserve">Your trip details</t>
  </si>
  <si>
    <t xml:space="preserve">Trip length (days)</t>
  </si>
  <si>
    <t xml:space="preserve">Number of travellers</t>
  </si>
  <si>
    <t xml:space="preserve">Travel style</t>
  </si>
  <si>
    <t xml:space="preserve">Moderate</t>
  </si>
  <si>
    <t xml:space="preserve">Return flight cost per person (AUD, 0 if already paid)</t>
  </si>
  <si>
    <t xml:space="preserve">Accommodation already booked &amp; paid?</t>
  </si>
  <si>
    <t xml:space="preserve">No</t>
  </si>
  <si>
    <t xml:space="preserve">Daily rate assumptions (AUD/day per person)</t>
  </si>
  <si>
    <t xml:space="preserve">Style</t>
  </si>
  <si>
    <t xml:space="preserve">Rate (AUD/day)</t>
  </si>
  <si>
    <t xml:space="preserve">What's included</t>
  </si>
  <si>
    <t xml:space="preserve">Budget</t>
  </si>
  <si>
    <t xml:space="preserve">Hostels/budget hotels, self-catering, public transport</t>
  </si>
  <si>
    <t xml:space="preserve">Mid-range hotels, restaurants, some paid activities</t>
  </si>
  <si>
    <t xml:space="preserve">Comfortable</t>
  </si>
  <si>
    <t xml:space="preserve">Upscale hotels, dining out, tours and attractions</t>
  </si>
  <si>
    <t xml:space="preserve">These are general planning estimates, not sourced from or endorsed by the Department of Home Affairs. Update them if your itinerary's real costs differ - every total below recalculates automatically.</t>
  </si>
  <si>
    <t xml:space="preserve">Suggested minimum funds to evidence</t>
  </si>
  <si>
    <t xml:space="preserve">Daily rate for selected style (AUD/day)</t>
  </si>
  <si>
    <t xml:space="preserve">Accommodation + daily expenses</t>
  </si>
  <si>
    <t xml:space="preserve">Flights (all travellers)</t>
  </si>
  <si>
    <t xml:space="preserve">Subtotal</t>
  </si>
  <si>
    <t xml:space="preserve">Buffer for incidentals (15%)</t>
  </si>
  <si>
    <t xml:space="preserve">Suggested total</t>
  </si>
  <si>
    <t xml:space="preserve">Not a government agency. Not affiliated with the Department of Home Affairs. Verify current requirements at homeaffairs.gov.au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</si>
</sst>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42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14</v>
      </c>
    </row>
    <row r="8" customFormat="false" ht="15" hidden="false" customHeight="false" outlineLevel="0" collapsed="false">
      <c r="A8" s="6" t="s">
        <v>6</v>
      </c>
      <c r="B8" s="7" t="n">
        <v>1</v>
      </c>
    </row>
    <row r="9" customFormat="false" ht="15" hidden="false" customHeight="false" outlineLevel="0" collapsed="false">
      <c r="A9" s="6" t="s">
        <v>7</v>
      </c>
      <c r="B9" s="7" t="s">
        <v>8</v>
      </c>
    </row>
    <row r="10" customFormat="false" ht="15" hidden="false" customHeight="false" outlineLevel="0" collapsed="false">
      <c r="A10" s="6" t="s">
        <v>9</v>
      </c>
      <c r="B10" s="8" t="n">
        <v>1200</v>
      </c>
    </row>
    <row r="11" customFormat="false" ht="15" hidden="false" customHeight="false" outlineLevel="0" collapsed="false">
      <c r="A11" s="6" t="s">
        <v>10</v>
      </c>
      <c r="B11" s="7" t="s">
        <v>11</v>
      </c>
    </row>
    <row r="13" customFormat="false" ht="15" hidden="false" customHeight="false" outlineLevel="0" collapsed="false">
      <c r="A13" s="5" t="s">
        <v>12</v>
      </c>
    </row>
    <row r="14" customFormat="false" ht="15" hidden="false" customHeight="false" outlineLevel="0" collapsed="false">
      <c r="A14" s="9" t="s">
        <v>13</v>
      </c>
      <c r="B14" s="9" t="s">
        <v>14</v>
      </c>
      <c r="C14" s="9" t="s">
        <v>15</v>
      </c>
    </row>
    <row r="15" customFormat="false" ht="15" hidden="false" customHeight="false" outlineLevel="0" collapsed="false">
      <c r="A15" s="10" t="s">
        <v>16</v>
      </c>
      <c r="B15" s="11" t="n">
        <v>110</v>
      </c>
      <c r="C15" s="12" t="s">
        <v>17</v>
      </c>
    </row>
    <row r="16" customFormat="false" ht="15" hidden="false" customHeight="false" outlineLevel="0" collapsed="false">
      <c r="A16" s="10" t="s">
        <v>8</v>
      </c>
      <c r="B16" s="11" t="n">
        <v>220</v>
      </c>
      <c r="C16" s="12" t="s">
        <v>18</v>
      </c>
    </row>
    <row r="17" customFormat="false" ht="15" hidden="false" customHeight="false" outlineLevel="0" collapsed="false">
      <c r="A17" s="10" t="s">
        <v>19</v>
      </c>
      <c r="B17" s="11" t="n">
        <v>380</v>
      </c>
      <c r="C17" s="12" t="s">
        <v>20</v>
      </c>
    </row>
    <row r="18" customFormat="false" ht="15" hidden="false" customHeight="false" outlineLevel="0" collapsed="false">
      <c r="A18" s="13" t="s">
        <v>21</v>
      </c>
      <c r="B18" s="13"/>
      <c r="C18" s="13"/>
    </row>
    <row r="20" customFormat="false" ht="15" hidden="false" customHeight="false" outlineLevel="0" collapsed="false">
      <c r="A20" s="5" t="s">
        <v>22</v>
      </c>
    </row>
    <row r="21" customFormat="false" ht="15" hidden="false" customHeight="false" outlineLevel="0" collapsed="false">
      <c r="A21" s="6" t="s">
        <v>23</v>
      </c>
      <c r="B21" s="14" t="n">
        <f aca="false">INDEX(B15:B17,MATCH(B9,A15:A17,0))</f>
        <v>220</v>
      </c>
    </row>
    <row r="22" customFormat="false" ht="15" hidden="false" customHeight="false" outlineLevel="0" collapsed="false">
      <c r="A22" s="6" t="s">
        <v>24</v>
      </c>
      <c r="B22" s="14" t="n">
        <f aca="false">B21*B7*B8*IF(B11="Yes",0.55,1)</f>
        <v>3080</v>
      </c>
    </row>
    <row r="23" customFormat="false" ht="15" hidden="false" customHeight="false" outlineLevel="0" collapsed="false">
      <c r="A23" s="6" t="s">
        <v>25</v>
      </c>
      <c r="B23" s="14" t="n">
        <f aca="false">B10*B8</f>
        <v>1200</v>
      </c>
    </row>
    <row r="24" customFormat="false" ht="15" hidden="false" customHeight="false" outlineLevel="0" collapsed="false">
      <c r="A24" s="15" t="s">
        <v>26</v>
      </c>
      <c r="B24" s="16" t="n">
        <f aca="false">B22+B23</f>
        <v>4280</v>
      </c>
    </row>
    <row r="25" customFormat="false" ht="15" hidden="false" customHeight="false" outlineLevel="0" collapsed="false">
      <c r="A25" s="6" t="s">
        <v>27</v>
      </c>
      <c r="B25" s="14" t="n">
        <f aca="false">B24*0.15</f>
        <v>642</v>
      </c>
    </row>
    <row r="26" customFormat="false" ht="16.15" hidden="false" customHeight="false" outlineLevel="0" collapsed="false">
      <c r="A26" s="17" t="s">
        <v>28</v>
      </c>
      <c r="B26" s="18" t="n">
        <f aca="false">SUM(B24:B25)</f>
        <v>4922</v>
      </c>
    </row>
    <row r="29" customFormat="false" ht="15" hidden="false" customHeight="false" outlineLevel="0" collapsed="false">
      <c r="A29" s="13" t="s">
        <v>29</v>
      </c>
      <c r="B29" s="13"/>
      <c r="C29" s="13"/>
    </row>
  </sheetData>
  <mergeCells count="3">
    <mergeCell ref="A4:E4"/>
    <mergeCell ref="A18:C18"/>
    <mergeCell ref="A29:C29"/>
  </mergeCells>
  <dataValidations count="2">
    <dataValidation allowBlank="false" errorStyle="stop" operator="between" showDropDown="false" showErrorMessage="false" showInputMessage="false" sqref="B9" type="list">
      <formula1>"Budget,Moderate,Comfortable"</formula1>
      <formula2>0</formula2>
    </dataValidation>
    <dataValidation allowBlank="false" errorStyle="stop" operator="between" showDropDown="false" showErrorMessage="false" showInputMessage="false" sqref="B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2026-08-28T18:20:23Z</dcterms:created>
  <dc:creator>openpyxl</dc:creator>
  <dc:description/>
  <dc:language>en-US</dc:language>
  <cp:lastModifiedBy/>
  <dcterms:modified xsi:type="dcterms:W3CDTF">2026-08-28T18:20:23Z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