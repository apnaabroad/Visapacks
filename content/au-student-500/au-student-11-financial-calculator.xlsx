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Any amount already paid toward fees reduces the portion you still need to evidence.</t>
        </r>
      </text>
    </comment>
    <comment ref="B9" authorId="0">
      <text>
        <r>
          <rPr>
            <sz val="10"/>
            <rFont val="Arial"/>
            <family val="2"/>
          </rPr>
          <t xml:space="preserve">Enter 0 if you're applying alone. Each accompanying family member adds the per-family-member living-cost amount below.</t>
        </r>
      </text>
    </comment>
  </commentList>
</comments>
</file>

<file path=xl/sharedStrings.xml><?xml version="1.0" encoding="utf-8"?>
<sst xmlns="http://schemas.openxmlformats.org/spreadsheetml/2006/main" count="24" uniqueCount="24">
  <si>
    <t xml:space="preserve">PREMIUM</t>
  </si>
  <si>
    <t xml:space="preserve">Financial Planning Calculator</t>
  </si>
  <si>
    <t xml:space="preserve">Australia - Student Visa (Subclass 500)</t>
  </si>
  <si>
    <t xml:space="preserve">This implements the published cost-of-living formula: course fees payable, plus a fixed annual living-cost figure (with an addition per accompanying family member), plus travel costs. The living-cost figures are updated periodically by the Department of Home Affairs - check homeaffairs.gov.au for the current figures and update the blue cells below before relying on this. Fill in the blue cells; every other cell updates automatically. All figures are in Australian dollars (AUD).</t>
  </si>
  <si>
    <t xml:space="preserve">Your course details</t>
  </si>
  <si>
    <t xml:space="preserve">Course fees, per your CoE (AUD)</t>
  </si>
  <si>
    <t xml:space="preserve">Amount already paid to your provider (AUD)</t>
  </si>
  <si>
    <t xml:space="preserve">Accompanying family members (spouse/children travelling with you)</t>
  </si>
  <si>
    <t xml:space="preserve">Travel costs, all travellers (AUD)</t>
  </si>
  <si>
    <t xml:space="preserve">Published cost-of-living figures (AUD/year)</t>
  </si>
  <si>
    <t xml:space="preserve">Component</t>
  </si>
  <si>
    <t xml:space="preserve">Amount (AUD)</t>
  </si>
  <si>
    <t xml:space="preserve">Source</t>
  </si>
  <si>
    <t xml:space="preserve">Base living costs - primary applicant (1 year)</t>
  </si>
  <si>
    <t xml:space="preserve">Published Student visa living-cost figure - verify the current amount on homeaffairs.gov.au before relying on it</t>
  </si>
  <si>
    <t xml:space="preserve">Additional amount per accompanying family member</t>
  </si>
  <si>
    <t xml:space="preserve">Published per-family-member addition - verify the current amount on homeaffairs.gov.au before relying on it</t>
  </si>
  <si>
    <t xml:space="preserve">These are general planning figures based on the department's published cost-of-living table, not guaranteed current amounts - the department updates this table periodically. Confirm the current figures on homeaffairs.gov.au and edit the blue cells above if they've changed - every total below recalculates automatically.</t>
  </si>
  <si>
    <t xml:space="preserve">Funds you need to evidence</t>
  </si>
  <si>
    <t xml:space="preserve">Course fees payable (fees minus amount already paid)</t>
  </si>
  <si>
    <t xml:space="preserve">Living costs (base + accompanying family members)</t>
  </si>
  <si>
    <t xml:space="preserve">Total funds to evidence</t>
  </si>
  <si>
    <t xml:space="preserve">Reminder: evidence should be genuine and consistent - the department checks for large, unexplained recent deposits. See the Financial Requirements Overview.</t>
  </si>
  <si>
    <t xml:space="preserve">Not a government agency. Not affiliated with the Department of Home Affairs. Verify current requirements and figures at homeaffairs.gov.au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</si>
</sst>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67.5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28000</v>
      </c>
    </row>
    <row r="8" customFormat="false" ht="15" hidden="false" customHeight="false" outlineLevel="0" collapsed="false">
      <c r="A8" s="6" t="s">
        <v>6</v>
      </c>
      <c r="B8" s="7" t="n">
        <v>5000</v>
      </c>
    </row>
    <row r="9" customFormat="false" ht="15" hidden="false" customHeight="false" outlineLevel="0" collapsed="false">
      <c r="A9" s="6" t="s">
        <v>7</v>
      </c>
      <c r="B9" s="8" t="n">
        <v>0</v>
      </c>
    </row>
    <row r="10" customFormat="false" ht="15" hidden="false" customHeight="false" outlineLevel="0" collapsed="false">
      <c r="A10" s="6" t="s">
        <v>8</v>
      </c>
      <c r="B10" s="7" t="n">
        <v>2500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9" t="s">
        <v>10</v>
      </c>
      <c r="B13" s="9" t="s">
        <v>11</v>
      </c>
      <c r="C13" s="9" t="s">
        <v>12</v>
      </c>
    </row>
    <row r="14" customFormat="false" ht="15" hidden="false" customHeight="false" outlineLevel="0" collapsed="false">
      <c r="A14" s="10" t="s">
        <v>13</v>
      </c>
      <c r="B14" s="11" t="n">
        <v>29710</v>
      </c>
      <c r="C14" s="12" t="s">
        <v>14</v>
      </c>
    </row>
    <row r="15" customFormat="false" ht="15" hidden="false" customHeight="false" outlineLevel="0" collapsed="false">
      <c r="A15" s="10" t="s">
        <v>15</v>
      </c>
      <c r="B15" s="11" t="n">
        <v>10394</v>
      </c>
      <c r="C15" s="12" t="s">
        <v>16</v>
      </c>
    </row>
    <row r="16" customFormat="false" ht="15" hidden="false" customHeight="false" outlineLevel="0" collapsed="false">
      <c r="A16" s="13" t="s">
        <v>17</v>
      </c>
      <c r="B16" s="13"/>
      <c r="C16" s="13"/>
    </row>
    <row r="18" customFormat="false" ht="15" hidden="false" customHeight="false" outlineLevel="0" collapsed="false">
      <c r="A18" s="5" t="s">
        <v>18</v>
      </c>
    </row>
    <row r="19" customFormat="false" ht="15" hidden="false" customHeight="false" outlineLevel="0" collapsed="false">
      <c r="A19" s="6" t="s">
        <v>19</v>
      </c>
      <c r="B19" s="14" t="n">
        <f aca="false">MAX(B7-B8,0)</f>
        <v>23000</v>
      </c>
    </row>
    <row r="20" customFormat="false" ht="15" hidden="false" customHeight="false" outlineLevel="0" collapsed="false">
      <c r="A20" s="6" t="s">
        <v>20</v>
      </c>
      <c r="B20" s="14" t="n">
        <f aca="false">B14+(B9*B15)</f>
        <v>29710</v>
      </c>
    </row>
    <row r="21" customFormat="false" ht="16.15" hidden="false" customHeight="false" outlineLevel="0" collapsed="false">
      <c r="A21" s="15" t="s">
        <v>21</v>
      </c>
      <c r="B21" s="16" t="n">
        <f aca="false">B19+B20+B10</f>
        <v>55210</v>
      </c>
    </row>
    <row r="23" customFormat="false" ht="27.75" hidden="false" customHeight="true" outlineLevel="0" collapsed="false">
      <c r="A23" s="17" t="s">
        <v>22</v>
      </c>
      <c r="B23" s="17"/>
      <c r="C23" s="17"/>
    </row>
    <row r="25" customFormat="false" ht="15" hidden="false" customHeight="false" outlineLevel="0" collapsed="false">
      <c r="A25" s="13" t="s">
        <v>23</v>
      </c>
      <c r="B25" s="13"/>
      <c r="C25" s="13"/>
    </row>
  </sheetData>
  <mergeCells count="4">
    <mergeCell ref="A4:E4"/>
    <mergeCell ref="A16:C16"/>
    <mergeCell ref="A23:C23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2026-08-28T18:23:42Z</dcterms:created>
  <dc:creator>openpyxl</dc:creator>
  <dc:description/>
  <dc:language>en-US</dc:language>
  <cp:lastModifiedBy/>
  <dcterms:modified xsi:type="dcterms:W3CDTF">2026-08-28T18:23:42Z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