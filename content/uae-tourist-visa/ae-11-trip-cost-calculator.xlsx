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Choose from the Visa Fee Assumptions table for the government fee this pulls through.</t>
        </r>
      </text>
    </comment>
    <comment ref="B11" authorId="0">
      <text>
        <r>
          <rPr>
            <sz val="10"/>
            <rFont val="Arial"/>
            <family val="2"/>
          </rPr>
          <t xml:space="preserve">Mandatory for a UAE tourist visa - not optional. Enter the actual quoted premium for a policy covering your stay.</t>
        </r>
      </text>
    </comment>
    <comment ref="B12" authorId="0">
      <text>
        <r>
          <rPr>
            <sz val="10"/>
            <rFont val="Arial"/>
            <family val="2"/>
          </rPr>
          <t xml:space="preserve">Choose Budget, Moderate, or Comfortable - see the Daily Rate Assumptions table for what each means and its AED/day rate.</t>
        </r>
      </text>
    </comment>
  </commentList>
</comments>
</file>

<file path=xl/sharedStrings.xml><?xml version="1.0" encoding="utf-8"?>
<sst xmlns="http://schemas.openxmlformats.org/spreadsheetml/2006/main" count="46" uniqueCount="40">
  <si>
    <t xml:space="preserve">PREMIUM</t>
  </si>
  <si>
    <t xml:space="preserve">Trip Cost Planning Calculator</t>
  </si>
  <si>
    <t xml:space="preserve">United Arab Emirates - Tourist Visa</t>
  </si>
  <si>
    <t xml:space="preserve">The UAE has no fixed minimum bank balance to evidence for the standard Tourist Visa - your sponsor vouches for your visit instead. This tool budgets the real mandatory costs: the visa fee, your sponsor's service fee, mandatory health insurance, and your daily living costs. Fill in the blue cells; every other cell updates automatically. All figures are in UAE dirhams (AED).</t>
  </si>
  <si>
    <t xml:space="preserve">Your trip details</t>
  </si>
  <si>
    <t xml:space="preserve">Trip length (days)</t>
  </si>
  <si>
    <t xml:space="preserve">Number of travellers</t>
  </si>
  <si>
    <t xml:space="preserve">Visa type</t>
  </si>
  <si>
    <t xml:space="preserve">30-day single entry</t>
  </si>
  <si>
    <t xml:space="preserve">Sponsor/agency service fee per person (AED)</t>
  </si>
  <si>
    <t xml:space="preserve">Health insurance premium per person (AED)</t>
  </si>
  <si>
    <t xml:space="preserve">Travel style</t>
  </si>
  <si>
    <t xml:space="preserve">Moderate</t>
  </si>
  <si>
    <t xml:space="preserve">Visa fee assumptions (AED, government fee per person)</t>
  </si>
  <si>
    <t xml:space="preserve">Fee (AED)</t>
  </si>
  <si>
    <t xml:space="preserve">Note</t>
  </si>
  <si>
    <t xml:space="preserve">Illustrative planning figure - verify the current fee with your sponsor</t>
  </si>
  <si>
    <t xml:space="preserve">30-day multiple entry</t>
  </si>
  <si>
    <t xml:space="preserve">60-day single entry</t>
  </si>
  <si>
    <t xml:space="preserve">60-day multiple entry</t>
  </si>
  <si>
    <t xml:space="preserve">Daily rate assumptions (AED/day per person)</t>
  </si>
  <si>
    <t xml:space="preserve">Style</t>
  </si>
  <si>
    <t xml:space="preserve">Rate (AED/day)</t>
  </si>
  <si>
    <t xml:space="preserve">What's included</t>
  </si>
  <si>
    <t xml:space="preserve">Budget</t>
  </si>
  <si>
    <t xml:space="preserve">Budget hotels, self-catering, public transport</t>
  </si>
  <si>
    <t xml:space="preserve">Mid-range hotels, restaurants, some paid activities</t>
  </si>
  <si>
    <t xml:space="preserve">Comfortable</t>
  </si>
  <si>
    <t xml:space="preserve">Upscale hotels, dining out, tours and attractions</t>
  </si>
  <si>
    <t xml:space="preserve">All figures on this sheet are general planning estimates, not sourced from or endorsed by any UAE authority or sponsor. Update them if your real costs differ - every total below recalculates automatically.</t>
  </si>
  <si>
    <t xml:space="preserve">Estimated total trip cost</t>
  </si>
  <si>
    <t xml:space="preserve">Visa fees (all travellers)</t>
  </si>
  <si>
    <t xml:space="preserve">Sponsor/agency fees (all travellers)</t>
  </si>
  <si>
    <t xml:space="preserve">Health insurance (all travellers)</t>
  </si>
  <si>
    <t xml:space="preserve">Daily expenses (all travellers, full trip)</t>
  </si>
  <si>
    <t xml:space="preserve">Subtotal</t>
  </si>
  <si>
    <t xml:space="preserve">Buffer for incidentals (15%)</t>
  </si>
  <si>
    <t xml:space="preserve">Estimated total</t>
  </si>
  <si>
    <t xml:space="preserve">This does not include flights, which vary too widely by origin to estimate here - add your own flight cost to this total for a complete trip budget.</t>
  </si>
  <si>
    <t xml:space="preserve">Not a government agency. Not affiliated with ICP, GDRFA, or any airline, hotel, or agency. Verify current fees and requirements with your chosen sponsor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</si>
</sst>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55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10</v>
      </c>
    </row>
    <row r="8" customFormat="false" ht="15" hidden="false" customHeight="false" outlineLevel="0" collapsed="false">
      <c r="A8" s="6" t="s">
        <v>6</v>
      </c>
      <c r="B8" s="7" t="n">
        <v>1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8" t="n">
        <v>150</v>
      </c>
    </row>
    <row r="11" customFormat="false" ht="15" hidden="false" customHeight="false" outlineLevel="0" collapsed="false">
      <c r="A11" s="6" t="s">
        <v>10</v>
      </c>
      <c r="B11" s="8" t="n">
        <v>120</v>
      </c>
    </row>
    <row r="12" customFormat="false" ht="15" hidden="false" customHeight="false" outlineLevel="0" collapsed="false">
      <c r="A12" s="6" t="s">
        <v>11</v>
      </c>
      <c r="B12" s="7" t="s">
        <v>12</v>
      </c>
    </row>
    <row r="14" customFormat="false" ht="15" hidden="false" customHeight="false" outlineLevel="0" collapsed="false">
      <c r="A14" s="5" t="s">
        <v>13</v>
      </c>
    </row>
    <row r="15" customFormat="false" ht="15" hidden="false" customHeight="false" outlineLevel="0" collapsed="false">
      <c r="A15" s="9" t="s">
        <v>7</v>
      </c>
      <c r="B15" s="9" t="s">
        <v>14</v>
      </c>
      <c r="C15" s="9" t="s">
        <v>15</v>
      </c>
    </row>
    <row r="16" customFormat="false" ht="15" hidden="false" customHeight="false" outlineLevel="0" collapsed="false">
      <c r="A16" s="10" t="s">
        <v>8</v>
      </c>
      <c r="B16" s="11" t="n">
        <v>350</v>
      </c>
      <c r="C16" s="12" t="s">
        <v>16</v>
      </c>
    </row>
    <row r="17" customFormat="false" ht="15" hidden="false" customHeight="false" outlineLevel="0" collapsed="false">
      <c r="A17" s="10" t="s">
        <v>17</v>
      </c>
      <c r="B17" s="11" t="n">
        <v>650</v>
      </c>
      <c r="C17" s="12" t="s">
        <v>16</v>
      </c>
    </row>
    <row r="18" customFormat="false" ht="15" hidden="false" customHeight="false" outlineLevel="0" collapsed="false">
      <c r="A18" s="10" t="s">
        <v>18</v>
      </c>
      <c r="B18" s="11" t="n">
        <v>650</v>
      </c>
      <c r="C18" s="12" t="s">
        <v>16</v>
      </c>
    </row>
    <row r="19" customFormat="false" ht="15" hidden="false" customHeight="false" outlineLevel="0" collapsed="false">
      <c r="A19" s="10" t="s">
        <v>19</v>
      </c>
      <c r="B19" s="11" t="n">
        <v>950</v>
      </c>
      <c r="C19" s="12" t="s">
        <v>16</v>
      </c>
    </row>
    <row r="21" customFormat="false" ht="15" hidden="false" customHeight="false" outlineLevel="0" collapsed="false">
      <c r="A21" s="5" t="s">
        <v>20</v>
      </c>
    </row>
    <row r="22" customFormat="false" ht="15" hidden="false" customHeight="false" outlineLevel="0" collapsed="false">
      <c r="A22" s="9" t="s">
        <v>21</v>
      </c>
      <c r="B22" s="9" t="s">
        <v>22</v>
      </c>
      <c r="C22" s="9" t="s">
        <v>23</v>
      </c>
    </row>
    <row r="23" customFormat="false" ht="15" hidden="false" customHeight="false" outlineLevel="0" collapsed="false">
      <c r="A23" s="10" t="s">
        <v>24</v>
      </c>
      <c r="B23" s="11" t="n">
        <v>250</v>
      </c>
      <c r="C23" s="12" t="s">
        <v>25</v>
      </c>
    </row>
    <row r="24" customFormat="false" ht="15" hidden="false" customHeight="false" outlineLevel="0" collapsed="false">
      <c r="A24" s="10" t="s">
        <v>12</v>
      </c>
      <c r="B24" s="11" t="n">
        <v>500</v>
      </c>
      <c r="C24" s="12" t="s">
        <v>26</v>
      </c>
    </row>
    <row r="25" customFormat="false" ht="15" hidden="false" customHeight="false" outlineLevel="0" collapsed="false">
      <c r="A25" s="10" t="s">
        <v>27</v>
      </c>
      <c r="B25" s="11" t="n">
        <v>900</v>
      </c>
      <c r="C25" s="12" t="s">
        <v>28</v>
      </c>
    </row>
    <row r="26" customFormat="false" ht="15" hidden="false" customHeight="false" outlineLevel="0" collapsed="false">
      <c r="A26" s="13" t="s">
        <v>29</v>
      </c>
      <c r="B26" s="13"/>
      <c r="C26" s="13"/>
    </row>
    <row r="28" customFormat="false" ht="15" hidden="false" customHeight="false" outlineLevel="0" collapsed="false">
      <c r="A28" s="5" t="s">
        <v>30</v>
      </c>
    </row>
    <row r="29" customFormat="false" ht="15" hidden="false" customHeight="false" outlineLevel="0" collapsed="false">
      <c r="A29" s="6" t="s">
        <v>31</v>
      </c>
      <c r="B29" s="14" t="n">
        <f aca="false">INDEX(B16:B19,MATCH(B9,A16:A19,0))*B8</f>
        <v>350</v>
      </c>
    </row>
    <row r="30" customFormat="false" ht="15" hidden="false" customHeight="false" outlineLevel="0" collapsed="false">
      <c r="A30" s="6" t="s">
        <v>32</v>
      </c>
      <c r="B30" s="14" t="n">
        <f aca="false">B10*B8</f>
        <v>150</v>
      </c>
    </row>
    <row r="31" customFormat="false" ht="15" hidden="false" customHeight="false" outlineLevel="0" collapsed="false">
      <c r="A31" s="6" t="s">
        <v>33</v>
      </c>
      <c r="B31" s="14" t="n">
        <f aca="false">B11*B8</f>
        <v>120</v>
      </c>
    </row>
    <row r="32" customFormat="false" ht="15" hidden="false" customHeight="false" outlineLevel="0" collapsed="false">
      <c r="A32" s="6" t="s">
        <v>34</v>
      </c>
      <c r="B32" s="14" t="n">
        <f aca="false">INDEX(B23:B25,MATCH(B12,A23:A25,0))*B7*B8</f>
        <v>5000</v>
      </c>
    </row>
    <row r="33" customFormat="false" ht="15" hidden="false" customHeight="false" outlineLevel="0" collapsed="false">
      <c r="A33" s="15" t="s">
        <v>35</v>
      </c>
      <c r="B33" s="16" t="n">
        <f aca="false">B29+B30+B31+B32</f>
        <v>5620</v>
      </c>
    </row>
    <row r="34" customFormat="false" ht="15" hidden="false" customHeight="false" outlineLevel="0" collapsed="false">
      <c r="A34" s="6" t="s">
        <v>36</v>
      </c>
      <c r="B34" s="14" t="n">
        <f aca="false">B33*0.15</f>
        <v>843</v>
      </c>
    </row>
    <row r="35" customFormat="false" ht="16.15" hidden="false" customHeight="false" outlineLevel="0" collapsed="false">
      <c r="A35" s="17" t="s">
        <v>37</v>
      </c>
      <c r="B35" s="18" t="n">
        <f aca="false">SUM(B33:B34)</f>
        <v>6463</v>
      </c>
    </row>
    <row r="37" customFormat="false" ht="27.75" hidden="false" customHeight="true" outlineLevel="0" collapsed="false">
      <c r="A37" s="19" t="s">
        <v>38</v>
      </c>
      <c r="B37" s="19"/>
      <c r="C37" s="19"/>
    </row>
    <row r="39" customFormat="false" ht="15" hidden="false" customHeight="false" outlineLevel="0" collapsed="false">
      <c r="A39" s="13" t="s">
        <v>39</v>
      </c>
      <c r="B39" s="13"/>
      <c r="C39" s="13"/>
    </row>
  </sheetData>
  <mergeCells count="4">
    <mergeCell ref="A4:E4"/>
    <mergeCell ref="A26:C26"/>
    <mergeCell ref="A37:C37"/>
    <mergeCell ref="A39:C39"/>
  </mergeCells>
  <dataValidations count="2">
    <dataValidation allowBlank="false" errorStyle="stop" operator="between" showDropDown="false" showErrorMessage="false" showInputMessage="false" sqref="B12" type="list">
      <formula1>"Budget,Moderate,Comfortable"</formula1>
      <formula2>0</formula2>
    </dataValidation>
    <dataValidation allowBlank="false" errorStyle="stop" operator="between" showDropDown="false" showErrorMessage="false" showInputMessage="false" sqref="B9" type="list">
      <formula1>$A$16:$A$19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2026-08-28T18:30:31Z</dcterms:created>
  <dc:creator>openpyxl</dc:creator>
  <dc:description/>
  <dc:language>en-US</dc:language>
  <cp:lastModifiedBy/>
  <dcterms:modified xsi:type="dcterms:W3CDTF">2026-08-28T18:30:31Z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