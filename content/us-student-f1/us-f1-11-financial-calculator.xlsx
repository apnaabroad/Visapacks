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This is your school's own figure, set individually for your programme and location - not a government minimum. Use the exact figure shown on your Form I-20.</t>
        </r>
      </text>
    </comment>
    <comment ref="B10" authorId="0">
      <text>
        <r>
          <rPr>
            <sz val="10"/>
            <rFont val="Arial"/>
            <family val="2"/>
          </rPr>
          <t xml:space="preserve">Schools that include dependents on your I-20 generally add a per-dependent living cost - use the figure your school states, if different from this default.</t>
        </r>
      </text>
    </comment>
  </commentList>
</comments>
</file>

<file path=xl/sharedStrings.xml><?xml version="1.0" encoding="utf-8"?>
<sst xmlns="http://schemas.openxmlformats.org/spreadsheetml/2006/main" count="27" uniqueCount="25">
  <si>
    <t xml:space="preserve">PREMIUM</t>
  </si>
  <si>
    <t xml:space="preserve">Financial Planning Calculator</t>
  </si>
  <si>
    <t xml:space="preserve">United States - F-1 Student Visa</t>
  </si>
  <si>
    <t xml:space="preserve">There's no government-set minimum for an F-1 application - your own school sets the annual cost figure on your I-20. Enter that figure below, plus any scholarship or assistantship funding already confirmed, to see what you still need to evidence yourself. The SEVIS and visa fees are updated periodically - verify the current amounts before relying on this. Fill in the blue cells; every other cell updates automatically. All figures are in US dollars (USD).</t>
  </si>
  <si>
    <t xml:space="preserve">Your I-20 and funding details</t>
  </si>
  <si>
    <t xml:space="preserve">Annual cost stated on your I-20 (tuition + estimated living, USD)</t>
  </si>
  <si>
    <t xml:space="preserve">Amount already covered by a scholarship or assistantship (USD)</t>
  </si>
  <si>
    <t xml:space="preserve">Number of F-2 dependents accompanying you</t>
  </si>
  <si>
    <t xml:space="preserve">Additional funds required per F-2 dependent, per your I-20 (USD)</t>
  </si>
  <si>
    <t xml:space="preserve">Fixed fees (USD)</t>
  </si>
  <si>
    <t xml:space="preserve">Fee</t>
  </si>
  <si>
    <t xml:space="preserve">Amount (USD)</t>
  </si>
  <si>
    <t xml:space="preserve">Note</t>
  </si>
  <si>
    <t xml:space="preserve">SEVIS I-901 fee</t>
  </si>
  <si>
    <t xml:space="preserve">Paid separately from the visa fee, before your interview - verify the current amount for your visa category</t>
  </si>
  <si>
    <t xml:space="preserve">Visa application fee (MRV fee)</t>
  </si>
  <si>
    <t xml:space="preserve">Paid when scheduling your interview - verify the current amount</t>
  </si>
  <si>
    <t xml:space="preserve">These are general planning figures based on published fees, not guaranteed current amounts - both fees are updated periodically. Confirm the current figures and edit the blue cells above if they've changed - every total below recalculates automatically.</t>
  </si>
  <si>
    <t xml:space="preserve">Your funding requirement</t>
  </si>
  <si>
    <t xml:space="preserve">Net cost to evidence (I-20 figure less funding already covered)</t>
  </si>
  <si>
    <t xml:space="preserve">Additional funds for F-2 dependents</t>
  </si>
  <si>
    <t xml:space="preserve">Subtotal (funding to evidence)</t>
  </si>
  <si>
    <t xml:space="preserve">Total funding requirement + fees</t>
  </si>
  <si>
    <t xml:space="preserve">Note: your I-20's cost figure is set by your own school for your programme and location - always use the exact figure on your current I-20 rather than this sheet's default.</t>
  </si>
  <si>
    <t xml:space="preserve">Not a government agency. Not affiliated with SEVP, ICE, or any US embassy or consulate. Verify current requirements and figures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</si>
</sst>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45000</v>
      </c>
    </row>
    <row r="8" customFormat="false" ht="15" hidden="false" customHeight="false" outlineLevel="0" collapsed="false">
      <c r="A8" s="6" t="s">
        <v>6</v>
      </c>
      <c r="B8" s="7" t="n">
        <v>0</v>
      </c>
    </row>
    <row r="9" customFormat="false" ht="15" hidden="false" customHeight="false" outlineLevel="0" collapsed="false">
      <c r="A9" s="6" t="s">
        <v>7</v>
      </c>
      <c r="B9" s="8" t="n">
        <v>0</v>
      </c>
    </row>
    <row r="10" customFormat="false" ht="15" hidden="false" customHeight="false" outlineLevel="0" collapsed="false">
      <c r="A10" s="6" t="s">
        <v>8</v>
      </c>
      <c r="B10" s="7" t="n">
        <v>5000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9" t="s">
        <v>10</v>
      </c>
      <c r="B13" s="9" t="s">
        <v>11</v>
      </c>
      <c r="C13" s="9" t="s">
        <v>12</v>
      </c>
    </row>
    <row r="14" customFormat="false" ht="15" hidden="false" customHeight="false" outlineLevel="0" collapsed="false">
      <c r="A14" s="10" t="s">
        <v>13</v>
      </c>
      <c r="B14" s="11" t="n">
        <v>350</v>
      </c>
      <c r="C14" s="12" t="s">
        <v>14</v>
      </c>
    </row>
    <row r="15" customFormat="false" ht="15" hidden="false" customHeight="false" outlineLevel="0" collapsed="false">
      <c r="A15" s="10" t="s">
        <v>15</v>
      </c>
      <c r="B15" s="11" t="n">
        <v>185</v>
      </c>
      <c r="C15" s="12" t="s">
        <v>16</v>
      </c>
    </row>
    <row r="16" customFormat="false" ht="15" hidden="false" customHeight="false" outlineLevel="0" collapsed="false">
      <c r="A16" s="13" t="s">
        <v>17</v>
      </c>
      <c r="B16" s="13"/>
      <c r="C16" s="13"/>
    </row>
    <row r="18" customFormat="false" ht="1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6" t="s">
        <v>19</v>
      </c>
      <c r="B19" s="14" t="n">
        <f aca="false">MAX(B7-B8,0)</f>
        <v>45000</v>
      </c>
    </row>
    <row r="20" customFormat="false" ht="15" hidden="false" customHeight="false" outlineLevel="0" collapsed="false">
      <c r="A20" s="6" t="s">
        <v>20</v>
      </c>
      <c r="B20" s="14" t="n">
        <f aca="false">B9*B10</f>
        <v>0</v>
      </c>
    </row>
    <row r="21" customFormat="false" ht="15" hidden="false" customHeight="false" outlineLevel="0" collapsed="false">
      <c r="A21" s="15" t="s">
        <v>21</v>
      </c>
      <c r="B21" s="16" t="n">
        <f aca="false">B19+B20</f>
        <v>45000</v>
      </c>
    </row>
    <row r="22" customFormat="false" ht="15" hidden="false" customHeight="false" outlineLevel="0" collapsed="false">
      <c r="A22" s="6" t="s">
        <v>13</v>
      </c>
      <c r="B22" s="14" t="n">
        <f aca="false">B14</f>
        <v>350</v>
      </c>
    </row>
    <row r="23" customFormat="false" ht="15" hidden="false" customHeight="false" outlineLevel="0" collapsed="false">
      <c r="A23" s="6" t="s">
        <v>15</v>
      </c>
      <c r="B23" s="14" t="n">
        <f aca="false">B15</f>
        <v>185</v>
      </c>
    </row>
    <row r="24" customFormat="false" ht="16.15" hidden="false" customHeight="false" outlineLevel="0" collapsed="false">
      <c r="A24" s="17" t="s">
        <v>22</v>
      </c>
      <c r="B24" s="18" t="n">
        <f aca="false">B21+B22+B23</f>
        <v>45535</v>
      </c>
    </row>
    <row r="26" customFormat="false" ht="27.75" hidden="false" customHeight="true" outlineLevel="0" collapsed="false">
      <c r="A26" s="19" t="s">
        <v>23</v>
      </c>
      <c r="B26" s="19"/>
      <c r="C26" s="19"/>
    </row>
    <row r="28" customFormat="false" ht="15" hidden="false" customHeight="false" outlineLevel="0" collapsed="false">
      <c r="A28" s="13" t="s">
        <v>24</v>
      </c>
      <c r="B28" s="13"/>
      <c r="C28" s="13"/>
    </row>
  </sheetData>
  <mergeCells count="4">
    <mergeCell ref="A4:E4"/>
    <mergeCell ref="A16:C16"/>
    <mergeCell ref="A26:C26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2026-08-29T14:40:16Z</dcterms:created>
  <dc:creator>openpyxl</dc:creator>
  <dc:description/>
  <dc:language>en-US</dc:language>
  <cp:lastModifiedBy/>
  <dcterms:modified xsi:type="dcterms:W3CDTF">2026-08-29T14:40:16Z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